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2538\2_Master File\B-70_Programming\04_Colors\"/>
    </mc:Choice>
  </mc:AlternateContent>
  <xr:revisionPtr revIDLastSave="0" documentId="13_ncr:1_{1C306A8C-CD95-4F91-87CC-2BD816C436E5}" xr6:coauthVersionLast="47" xr6:coauthVersionMax="47" xr10:uidLastSave="{00000000-0000-0000-0000-000000000000}"/>
  <bookViews>
    <workbookView xWindow="28680" yWindow="-120" windowWidth="29040" windowHeight="15720" activeTab="1" xr2:uid="{009AF481-6431-41C6-B368-96FD8BB7F8F1}"/>
  </bookViews>
  <sheets>
    <sheet name="HEALTHCARE" sheetId="3" r:id="rId1"/>
    <sheet name="CANCER CENTER" sheetId="4" r:id="rId2"/>
    <sheet name="Sheet1" sheetId="5" r:id="rId3"/>
  </sheets>
  <definedNames>
    <definedName name="_xlnm.Print_Area" localSheetId="0">HEALTHCARE!$D$2:$F$68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5" l="1"/>
  <c r="B1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2B94F9-9D13-4D74-BA7B-67098F61DD68}" keepAlive="1" name="Query - Page001" description="Connection to the 'Page001' query in the workbook." type="5" refreshedVersion="0" background="1">
    <dbPr connection="Provider=Microsoft.Mashup.OleDb.1;Data Source=$Workbook$;Location=Page001;Extended Properties=&quot;&quot;" command="SELECT * FROM [Page001]"/>
  </connection>
</connections>
</file>

<file path=xl/sharedStrings.xml><?xml version="1.0" encoding="utf-8"?>
<sst xmlns="http://schemas.openxmlformats.org/spreadsheetml/2006/main" count="425" uniqueCount="176">
  <si>
    <t>Hex Code</t>
  </si>
  <si>
    <t>LANDSCAPE</t>
  </si>
  <si>
    <t>WATER</t>
  </si>
  <si>
    <t>ENNEAD GRAY</t>
  </si>
  <si>
    <t>INPATIENT BEDS SUPPORT</t>
  </si>
  <si>
    <t>INPATIENT BEDS CIRCULATION</t>
  </si>
  <si>
    <t>POST PARTUM</t>
  </si>
  <si>
    <t>POST PARTUM SUPPORT</t>
  </si>
  <si>
    <t>POST PARTUM CIRCULATION</t>
  </si>
  <si>
    <t>LDR + C-SECTION</t>
  </si>
  <si>
    <t>LDR + C-SECTION SUPPORT</t>
  </si>
  <si>
    <t>LDR + C-SECTION CIRCULATION</t>
  </si>
  <si>
    <t>NICU</t>
  </si>
  <si>
    <t>NICU SUPPORT</t>
  </si>
  <si>
    <t>NICU CIRCULATION</t>
  </si>
  <si>
    <t>OBSERVATION</t>
  </si>
  <si>
    <t>OBSERVATION SUPPORT</t>
  </si>
  <si>
    <t>OBSERVATION CIRCULATION</t>
  </si>
  <si>
    <t>PREP/RECOVERY/PACU</t>
  </si>
  <si>
    <t>PREP/RECOVERY/PACU CIRCULATION</t>
  </si>
  <si>
    <t>EMERGENCY DEPARTMENT SUPPORT</t>
  </si>
  <si>
    <t>EMERGENCY DEPARTMENT CIRCULATION</t>
  </si>
  <si>
    <t>PHARMACY</t>
  </si>
  <si>
    <t>CANCER CENTER</t>
  </si>
  <si>
    <t>CANCER CENTER SUPPORT</t>
  </si>
  <si>
    <t>CANCER CENTER CIRCULATION</t>
  </si>
  <si>
    <t>PUBLIC WAITING</t>
  </si>
  <si>
    <t>PUBLIC CIRCULATION</t>
  </si>
  <si>
    <t>ADMINISTRATION</t>
  </si>
  <si>
    <t>ADMINISTRATION SUPPORT</t>
  </si>
  <si>
    <t>ADMINISTRATION CIRCULATION</t>
  </si>
  <si>
    <t>GREEN ROOF</t>
  </si>
  <si>
    <t>LOADING DOCK</t>
  </si>
  <si>
    <t>PARKING</t>
  </si>
  <si>
    <t>ENNEAD HEALTH CARE COLOR STANDARD</t>
  </si>
  <si>
    <t>ACADEMIC</t>
  </si>
  <si>
    <t>INPATIENT BEDS  (INCLG PEDS)</t>
  </si>
  <si>
    <t>PUBLIC SUPPORT</t>
  </si>
  <si>
    <t>CLINICAL SUPPORT</t>
  </si>
  <si>
    <t>PEDS</t>
  </si>
  <si>
    <t>PEDS  SUPPORT</t>
  </si>
  <si>
    <t>PEDS CIRCULATION</t>
  </si>
  <si>
    <t>Department</t>
  </si>
  <si>
    <t>Program Type</t>
  </si>
  <si>
    <t>EMERGENCY DEPARTMENT</t>
  </si>
  <si>
    <t xml:space="preserve"> </t>
  </si>
  <si>
    <t>EMERGENCY DEPARTMENT KEY RMS (INCLG PEDS)</t>
  </si>
  <si>
    <t>DIAGNOSTIC AND TREATMENT</t>
  </si>
  <si>
    <t>OR SUPPORT</t>
  </si>
  <si>
    <t>OR CIRCULATION</t>
  </si>
  <si>
    <t>PROCEDURE PLATFORM KEY RMS</t>
  </si>
  <si>
    <t>INPATIENT CARE</t>
  </si>
  <si>
    <t>MOB EXAM</t>
  </si>
  <si>
    <t>MOB SUPPORT</t>
  </si>
  <si>
    <t>MOB CIRCULATION</t>
  </si>
  <si>
    <t>BUILDING SUPPORT</t>
  </si>
  <si>
    <t>LOBBY (MAIN AND MOTHER BABY)</t>
  </si>
  <si>
    <t>PUBLIC AMENITIES/CAFÉ/MEDITATION</t>
  </si>
  <si>
    <t>ADMINISTRATION AND STAFF SUPPORT</t>
  </si>
  <si>
    <t>CLINICAL LABS/PATHOLOGY/BLOODBANK</t>
  </si>
  <si>
    <t>CENTRAL STERILE</t>
  </si>
  <si>
    <t>RESPIRATORY THERAPY</t>
  </si>
  <si>
    <t>MORGUE</t>
  </si>
  <si>
    <t>CVUS</t>
  </si>
  <si>
    <t>CVUS CIRCULATION</t>
  </si>
  <si>
    <t>MECHANICAL</t>
  </si>
  <si>
    <t>CUP</t>
  </si>
  <si>
    <t>IT/AV WORKSPACE</t>
  </si>
  <si>
    <t>FLOOR MEP</t>
  </si>
  <si>
    <t>EVS</t>
  </si>
  <si>
    <t>SECURITY</t>
  </si>
  <si>
    <t>BUILDING SUPPORT/LOADING DOCK SUPPORT/ WASTE</t>
  </si>
  <si>
    <t>BUILDING SUPPORT CIRCULATION</t>
  </si>
  <si>
    <t>STAFF/STUDENT HOUSING</t>
  </si>
  <si>
    <t>ACADEMIC BUILDING</t>
  </si>
  <si>
    <t>SYSTEM ADMIN/CORPORATE SERVICES</t>
  </si>
  <si>
    <t>RESIDENTIAL CIRCULATION</t>
  </si>
  <si>
    <t>ACADEMIC CIRCULATION</t>
  </si>
  <si>
    <t>ACADEMIC/RESEARCH</t>
  </si>
  <si>
    <t>MCIT OFFICES/RED+f OFFICES/HUMAN RESOURCES/FINANCE/BILLING</t>
  </si>
  <si>
    <t>ADMIN CIRCULATION</t>
  </si>
  <si>
    <t>PATIENT TRANSPORT</t>
  </si>
  <si>
    <t>SERVICE ELEVATOR</t>
  </si>
  <si>
    <t>PUBLIC ELEVATOR</t>
  </si>
  <si>
    <t>CLINICAL SUPPORT CIRCULATION</t>
  </si>
  <si>
    <t>RESIDENTIAL SUPPORT</t>
  </si>
  <si>
    <t>ADMIN SUPPORT</t>
  </si>
  <si>
    <t>RESIDENTIAL RMS</t>
  </si>
  <si>
    <t>ACADEMIC/RESEARCH SUPPORT</t>
  </si>
  <si>
    <t>ABBREVIATION</t>
  </si>
  <si>
    <t>DEPARTMENT COLOR</t>
  </si>
  <si>
    <t>ED</t>
  </si>
  <si>
    <t>D&amp;T</t>
  </si>
  <si>
    <t>INPATIENT</t>
  </si>
  <si>
    <t>PUBLIC</t>
  </si>
  <si>
    <t>CSUPP</t>
  </si>
  <si>
    <t>BSUPP</t>
  </si>
  <si>
    <t>PSUPP</t>
  </si>
  <si>
    <t>SSUPP</t>
  </si>
  <si>
    <t>VT</t>
  </si>
  <si>
    <t>MECH</t>
  </si>
  <si>
    <t>MOB</t>
  </si>
  <si>
    <t>CANCER</t>
  </si>
  <si>
    <t>RESI</t>
  </si>
  <si>
    <t>ADMIN</t>
  </si>
  <si>
    <t>ED KEYRM</t>
  </si>
  <si>
    <t>ED SUPP.</t>
  </si>
  <si>
    <t>ED CIRC.</t>
  </si>
  <si>
    <t>INPATIENT SUPP.</t>
  </si>
  <si>
    <t>INPATIENT CIRC.</t>
  </si>
  <si>
    <t>CANCER SUPP.</t>
  </si>
  <si>
    <t>CANCER CIRC.</t>
  </si>
  <si>
    <t>D&amp;T KEY RM</t>
  </si>
  <si>
    <t>PR/RE</t>
  </si>
  <si>
    <t>D&amp;T OR OR SUPPORT</t>
  </si>
  <si>
    <t>D&amp;T OR IRCULATION</t>
  </si>
  <si>
    <t>PREP/RECOVERY/PACU SUPPORT</t>
  </si>
  <si>
    <t>PR/RE SUPP.</t>
  </si>
  <si>
    <t>PR/RE CIRC.</t>
  </si>
  <si>
    <t>INPATIENT BEDS</t>
  </si>
  <si>
    <t>NICU SUPP.</t>
  </si>
  <si>
    <t>NICU CIRC.</t>
  </si>
  <si>
    <t>LDR</t>
  </si>
  <si>
    <t>LED SUPP.</t>
  </si>
  <si>
    <t>LDR CIRC.</t>
  </si>
  <si>
    <t>PP</t>
  </si>
  <si>
    <t>PP SUPP.</t>
  </si>
  <si>
    <t>PP CIRC.</t>
  </si>
  <si>
    <t xml:space="preserve"> PEDS  SUPP.</t>
  </si>
  <si>
    <t>PEDS CIRC.</t>
  </si>
  <si>
    <t>OBSV.</t>
  </si>
  <si>
    <t>OBSV SUPP.</t>
  </si>
  <si>
    <t>OBSV CIRC.</t>
  </si>
  <si>
    <t>AMENITIES</t>
  </si>
  <si>
    <t>LOBBY</t>
  </si>
  <si>
    <t>P WAITI.</t>
  </si>
  <si>
    <t>P CIRC.</t>
  </si>
  <si>
    <t xml:space="preserve"> CVUS SUPP. </t>
  </si>
  <si>
    <t>LANBS</t>
  </si>
  <si>
    <t>LOADING</t>
  </si>
  <si>
    <t xml:space="preserve">CANCER </t>
  </si>
  <si>
    <t>Program Color</t>
  </si>
  <si>
    <t>AMBULATORY CARE</t>
  </si>
  <si>
    <t>VERTICAL TRANSPORTATION</t>
  </si>
  <si>
    <t>TARGET PROGRAM AREA</t>
  </si>
  <si>
    <t>EXAM</t>
  </si>
  <si>
    <t>EXAM ROOMS</t>
  </si>
  <si>
    <t>EXAM SUPPORT</t>
  </si>
  <si>
    <t>EXAM CIRCULATION</t>
  </si>
  <si>
    <t>INFUSION</t>
  </si>
  <si>
    <t>INFUSION SUPPORT</t>
  </si>
  <si>
    <t>INFUSION CIRCULATION</t>
  </si>
  <si>
    <t>INFUSION CIRC</t>
  </si>
  <si>
    <t>INFUSION SUPP</t>
  </si>
  <si>
    <t>LABS</t>
  </si>
  <si>
    <t>Option E</t>
  </si>
  <si>
    <t>Electrical</t>
  </si>
  <si>
    <t>Exist Utility</t>
  </si>
  <si>
    <t>Fire Alarm</t>
  </si>
  <si>
    <t>Fire Protection</t>
  </si>
  <si>
    <t>HVAC</t>
  </si>
  <si>
    <t>IT</t>
  </si>
  <si>
    <t>Plumbing</t>
  </si>
  <si>
    <t>Shaft</t>
  </si>
  <si>
    <t>Existing Building Area</t>
  </si>
  <si>
    <t>Proposed Building Area</t>
  </si>
  <si>
    <t>Estimated Available Program Area</t>
  </si>
  <si>
    <t>IMAGING</t>
  </si>
  <si>
    <t>IMG</t>
  </si>
  <si>
    <t>RAD ONC</t>
  </si>
  <si>
    <t>RADIOLOGY</t>
  </si>
  <si>
    <t>WOMEN'S IMAGING</t>
  </si>
  <si>
    <t>IMAGING CIRCULATION</t>
  </si>
  <si>
    <t>IMAGING SUPPORT AND WAITING</t>
  </si>
  <si>
    <t>WOMEN'S IMG</t>
  </si>
  <si>
    <t>IMG CIRC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</si>
</sst>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Founders Grotesk Light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8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DE5446"/>
        <bgColor indexed="64"/>
      </patternFill>
    </fill>
    <fill>
      <patternFill patternType="solid">
        <fgColor rgb="FFF1B3AD"/>
        <bgColor indexed="64"/>
      </patternFill>
    </fill>
    <fill>
      <patternFill patternType="solid">
        <fgColor rgb="FFF9E5EB"/>
        <bgColor indexed="64"/>
      </patternFill>
    </fill>
    <fill>
      <patternFill patternType="solid">
        <fgColor rgb="FF93A63F"/>
        <bgColor indexed="64"/>
      </patternFill>
    </fill>
    <fill>
      <patternFill patternType="solid">
        <fgColor rgb="FFBECA8C"/>
        <bgColor indexed="64"/>
      </patternFill>
    </fill>
    <fill>
      <patternFill patternType="solid">
        <fgColor rgb="FFDFE4C9"/>
        <bgColor indexed="64"/>
      </patternFill>
    </fill>
    <fill>
      <patternFill patternType="solid">
        <fgColor rgb="FF67A386"/>
        <bgColor indexed="64"/>
      </patternFill>
    </fill>
    <fill>
      <patternFill patternType="solid">
        <fgColor rgb="FF90BCA8"/>
        <bgColor indexed="64"/>
      </patternFill>
    </fill>
    <fill>
      <patternFill patternType="solid">
        <fgColor rgb="FFB8D6C9"/>
        <bgColor indexed="64"/>
      </patternFill>
    </fill>
    <fill>
      <patternFill patternType="solid">
        <fgColor rgb="FFA9D4E9"/>
        <bgColor indexed="64"/>
      </patternFill>
    </fill>
    <fill>
      <patternFill patternType="solid">
        <fgColor rgb="FF6FB8DB"/>
        <bgColor indexed="64"/>
      </patternFill>
    </fill>
    <fill>
      <patternFill patternType="solid">
        <fgColor rgb="FFE2F1F8"/>
        <bgColor indexed="64"/>
      </patternFill>
    </fill>
    <fill>
      <patternFill patternType="solid">
        <fgColor rgb="FF389EA3"/>
        <bgColor indexed="64"/>
      </patternFill>
    </fill>
    <fill>
      <patternFill patternType="solid">
        <fgColor rgb="FF74BDC1"/>
        <bgColor indexed="64"/>
      </patternFill>
    </fill>
    <fill>
      <patternFill patternType="solid">
        <fgColor rgb="FFB1DDDE"/>
        <bgColor indexed="64"/>
      </patternFill>
    </fill>
    <fill>
      <patternFill patternType="solid">
        <fgColor rgb="FF6599C6"/>
        <bgColor indexed="64"/>
      </patternFill>
    </fill>
    <fill>
      <patternFill patternType="solid">
        <fgColor rgb="FFA8C6DE"/>
        <bgColor indexed="64"/>
      </patternFill>
    </fill>
    <fill>
      <patternFill patternType="solid">
        <fgColor rgb="FFCADCEA"/>
        <bgColor indexed="64"/>
      </patternFill>
    </fill>
    <fill>
      <patternFill patternType="solid">
        <fgColor rgb="FF51609E"/>
        <bgColor indexed="64"/>
      </patternFill>
    </fill>
    <fill>
      <patternFill patternType="solid">
        <fgColor rgb="FF8FA4C6"/>
        <bgColor indexed="64"/>
      </patternFill>
    </fill>
    <fill>
      <patternFill patternType="solid">
        <fgColor rgb="FFD8E1EF"/>
        <bgColor indexed="64"/>
      </patternFill>
    </fill>
    <fill>
      <patternFill patternType="solid">
        <fgColor rgb="FF8B9BD1"/>
        <bgColor indexed="64"/>
      </patternFill>
    </fill>
    <fill>
      <patternFill patternType="solid">
        <fgColor rgb="FFB0BCE0"/>
        <bgColor indexed="64"/>
      </patternFill>
    </fill>
    <fill>
      <patternFill patternType="solid">
        <fgColor rgb="FFD4DDEF"/>
        <bgColor indexed="64"/>
      </patternFill>
    </fill>
    <fill>
      <patternFill patternType="solid">
        <fgColor rgb="FF9E94D3"/>
        <bgColor indexed="64"/>
      </patternFill>
    </fill>
    <fill>
      <patternFill patternType="solid">
        <fgColor rgb="FFBBB7E6"/>
        <bgColor indexed="64"/>
      </patternFill>
    </fill>
    <fill>
      <patternFill patternType="solid">
        <fgColor rgb="FFD9D9F9"/>
        <bgColor indexed="64"/>
      </patternFill>
    </fill>
    <fill>
      <patternFill patternType="solid">
        <fgColor rgb="FFFCF19C"/>
        <bgColor indexed="64"/>
      </patternFill>
    </fill>
    <fill>
      <patternFill patternType="solid">
        <fgColor rgb="FFF8DF24"/>
        <bgColor indexed="64"/>
      </patternFill>
    </fill>
    <fill>
      <patternFill patternType="solid">
        <fgColor rgb="FFFFF8DD"/>
        <bgColor indexed="64"/>
      </patternFill>
    </fill>
    <fill>
      <patternFill patternType="solid">
        <fgColor rgb="FFF6CCB3"/>
        <bgColor indexed="64"/>
      </patternFill>
    </fill>
    <fill>
      <patternFill patternType="solid">
        <fgColor rgb="FFE0A40E"/>
        <bgColor indexed="64"/>
      </patternFill>
    </fill>
    <fill>
      <patternFill patternType="solid">
        <fgColor rgb="FFF5C859"/>
        <bgColor indexed="64"/>
      </patternFill>
    </fill>
    <fill>
      <patternFill patternType="solid">
        <fgColor rgb="FFAD9C71"/>
        <bgColor indexed="64"/>
      </patternFill>
    </fill>
    <fill>
      <patternFill patternType="solid">
        <fgColor rgb="FFAFAFAF"/>
        <bgColor indexed="64"/>
      </patternFill>
    </fill>
    <fill>
      <patternFill patternType="solid">
        <fgColor rgb="FFC7C7C7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BE9BC3"/>
        <bgColor indexed="64"/>
      </patternFill>
    </fill>
    <fill>
      <patternFill patternType="solid">
        <fgColor rgb="FFDAC4DE"/>
        <bgColor indexed="64"/>
      </patternFill>
    </fill>
    <fill>
      <patternFill patternType="solid">
        <fgColor rgb="FFF7EDF9"/>
        <bgColor indexed="64"/>
      </patternFill>
    </fill>
    <fill>
      <patternFill patternType="solid">
        <fgColor rgb="FFBA4977"/>
        <bgColor indexed="64"/>
      </patternFill>
    </fill>
    <fill>
      <patternFill patternType="solid">
        <fgColor rgb="FFD48EAC"/>
        <bgColor indexed="64"/>
      </patternFill>
    </fill>
    <fill>
      <patternFill patternType="solid">
        <fgColor rgb="FFE2B1C7"/>
        <bgColor indexed="64"/>
      </patternFill>
    </fill>
    <fill>
      <patternFill patternType="solid">
        <fgColor rgb="FF5962B3"/>
        <bgColor indexed="64"/>
      </patternFill>
    </fill>
    <fill>
      <patternFill patternType="solid">
        <fgColor rgb="FF959BCF"/>
        <bgColor indexed="64"/>
      </patternFill>
    </fill>
    <fill>
      <patternFill patternType="solid">
        <fgColor rgb="FFB0C3E6"/>
        <bgColor indexed="64"/>
      </patternFill>
    </fill>
    <fill>
      <patternFill patternType="solid">
        <fgColor rgb="FF7C7C7C"/>
        <bgColor indexed="64"/>
      </patternFill>
    </fill>
    <fill>
      <patternFill patternType="solid">
        <fgColor rgb="FFBED6B0"/>
        <bgColor indexed="64"/>
      </patternFill>
    </fill>
    <fill>
      <patternFill patternType="solid">
        <fgColor rgb="FF5F6168"/>
        <bgColor indexed="64"/>
      </patternFill>
    </fill>
    <fill>
      <patternFill patternType="solid">
        <fgColor rgb="FFEDF6F7"/>
        <bgColor indexed="64"/>
      </patternFill>
    </fill>
    <fill>
      <patternFill patternType="solid">
        <fgColor rgb="FFEF8011"/>
        <bgColor indexed="64"/>
      </patternFill>
    </fill>
    <fill>
      <patternFill patternType="solid">
        <fgColor rgb="FFFAE3A8"/>
        <bgColor indexed="64"/>
      </patternFill>
    </fill>
    <fill>
      <patternFill patternType="solid">
        <fgColor rgb="FFFAE1D2"/>
        <bgColor indexed="64"/>
      </patternFill>
    </fill>
    <fill>
      <patternFill patternType="solid">
        <fgColor rgb="FFFCEDE4"/>
        <bgColor indexed="64"/>
      </patternFill>
    </fill>
    <fill>
      <patternFill patternType="solid">
        <fgColor rgb="FFE17F75"/>
        <bgColor indexed="64"/>
      </patternFill>
    </fill>
    <fill>
      <patternFill patternType="solid">
        <fgColor rgb="FFE89C94"/>
        <bgColor indexed="64"/>
      </patternFill>
    </fill>
    <fill>
      <patternFill patternType="solid">
        <fgColor rgb="FFEDB3AD"/>
        <bgColor indexed="64"/>
      </patternFill>
    </fill>
    <fill>
      <patternFill patternType="solid">
        <fgColor rgb="FFF4A556"/>
        <bgColor indexed="64"/>
      </patternFill>
    </fill>
    <fill>
      <patternFill patternType="solid">
        <fgColor rgb="FFF7BE85"/>
        <bgColor indexed="64"/>
      </patternFill>
    </fill>
    <fill>
      <patternFill patternType="solid">
        <fgColor rgb="FFC1B493"/>
        <bgColor indexed="64"/>
      </patternFill>
    </fill>
    <fill>
      <patternFill patternType="solid">
        <fgColor rgb="FFD7CEB9"/>
        <bgColor indexed="64"/>
      </patternFill>
    </fill>
    <fill>
      <patternFill patternType="solid">
        <fgColor rgb="FF507BC8"/>
        <bgColor indexed="64"/>
      </patternFill>
    </fill>
    <fill>
      <patternFill patternType="solid">
        <fgColor rgb="FFFF97DC"/>
        <bgColor indexed="64"/>
      </patternFill>
    </fill>
    <fill>
      <patternFill patternType="solid">
        <fgColor rgb="FFFFBDE9"/>
        <bgColor indexed="64"/>
      </patternFill>
    </fill>
    <fill>
      <patternFill patternType="solid">
        <fgColor rgb="FFFFDDF4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9"/>
      </bottom>
      <diagonal/>
    </border>
    <border>
      <left/>
      <right/>
      <top style="thin">
        <color theme="9"/>
      </top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1" xfId="0" applyBorder="1"/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/>
    </xf>
    <xf numFmtId="0" fontId="3" fillId="0" borderId="4" xfId="0" applyFont="1" applyBorder="1" applyAlignment="1">
      <alignment horizontal="center" vertical="top"/>
    </xf>
    <xf numFmtId="0" fontId="5" fillId="2" borderId="5" xfId="0" applyFont="1" applyFill="1" applyBorder="1"/>
    <xf numFmtId="0" fontId="5" fillId="2" borderId="5" xfId="0" applyFont="1" applyFill="1" applyBorder="1" applyAlignment="1">
      <alignment horizontal="right"/>
    </xf>
    <xf numFmtId="0" fontId="5" fillId="2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right"/>
    </xf>
    <xf numFmtId="0" fontId="3" fillId="4" borderId="0" xfId="0" applyFont="1" applyFill="1"/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right"/>
    </xf>
    <xf numFmtId="0" fontId="3" fillId="5" borderId="2" xfId="0" applyFont="1" applyFill="1" applyBorder="1"/>
    <xf numFmtId="0" fontId="3" fillId="0" borderId="1" xfId="0" applyFont="1" applyBorder="1" applyAlignment="1">
      <alignment horizontal="left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3" fillId="17" borderId="0" xfId="0" applyFont="1" applyFill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3" fillId="19" borderId="0" xfId="0" applyFont="1" applyFill="1" applyAlignment="1">
      <alignment horizontal="center" vertical="center"/>
    </xf>
    <xf numFmtId="0" fontId="3" fillId="20" borderId="0" xfId="0" applyFont="1" applyFill="1" applyAlignment="1">
      <alignment horizontal="center" vertical="center"/>
    </xf>
    <xf numFmtId="0" fontId="3" fillId="21" borderId="0" xfId="0" applyFont="1" applyFill="1" applyAlignment="1">
      <alignment horizontal="center" vertical="center"/>
    </xf>
    <xf numFmtId="0" fontId="3" fillId="22" borderId="0" xfId="0" applyFont="1" applyFill="1" applyAlignment="1">
      <alignment horizontal="center" vertical="center"/>
    </xf>
    <xf numFmtId="0" fontId="3" fillId="23" borderId="0" xfId="0" applyFont="1" applyFill="1" applyAlignment="1">
      <alignment horizontal="center" vertical="center"/>
    </xf>
    <xf numFmtId="0" fontId="3" fillId="24" borderId="0" xfId="0" applyFont="1" applyFill="1" applyAlignment="1">
      <alignment horizontal="center" vertical="center"/>
    </xf>
    <xf numFmtId="0" fontId="3" fillId="25" borderId="0" xfId="0" applyFont="1" applyFill="1" applyAlignment="1">
      <alignment horizontal="center" vertical="center"/>
    </xf>
    <xf numFmtId="0" fontId="3" fillId="26" borderId="0" xfId="0" applyFont="1" applyFill="1" applyAlignment="1">
      <alignment horizontal="center" vertical="center"/>
    </xf>
    <xf numFmtId="0" fontId="3" fillId="27" borderId="0" xfId="0" applyFont="1" applyFill="1" applyAlignment="1">
      <alignment horizontal="center" vertical="center"/>
    </xf>
    <xf numFmtId="0" fontId="3" fillId="28" borderId="0" xfId="0" applyFont="1" applyFill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29" borderId="2" xfId="0" applyFont="1" applyFill="1" applyBorder="1" applyAlignment="1">
      <alignment horizontal="center" vertical="center"/>
    </xf>
    <xf numFmtId="0" fontId="3" fillId="30" borderId="0" xfId="0" applyFont="1" applyFill="1" applyAlignment="1">
      <alignment horizontal="center" vertical="center"/>
    </xf>
    <xf numFmtId="0" fontId="3" fillId="31" borderId="0" xfId="0" applyFont="1" applyFill="1" applyAlignment="1">
      <alignment horizontal="center" vertical="center"/>
    </xf>
    <xf numFmtId="0" fontId="3" fillId="30" borderId="0" xfId="0" applyFont="1" applyFill="1"/>
    <xf numFmtId="0" fontId="3" fillId="32" borderId="2" xfId="0" applyFont="1" applyFill="1" applyBorder="1"/>
    <xf numFmtId="0" fontId="3" fillId="33" borderId="1" xfId="0" applyFont="1" applyFill="1" applyBorder="1" applyAlignment="1">
      <alignment horizontal="center" vertical="center"/>
    </xf>
    <xf numFmtId="0" fontId="3" fillId="33" borderId="0" xfId="0" applyFont="1" applyFill="1" applyAlignment="1">
      <alignment horizontal="center" vertical="center"/>
    </xf>
    <xf numFmtId="0" fontId="3" fillId="34" borderId="0" xfId="0" applyFont="1" applyFill="1" applyAlignment="1">
      <alignment horizontal="center" vertical="center"/>
    </xf>
    <xf numFmtId="0" fontId="3" fillId="35" borderId="0" xfId="0" applyFont="1" applyFill="1" applyAlignment="1">
      <alignment horizontal="center" vertical="center"/>
    </xf>
    <xf numFmtId="0" fontId="3" fillId="36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right"/>
    </xf>
    <xf numFmtId="0" fontId="3" fillId="37" borderId="0" xfId="0" applyFont="1" applyFill="1"/>
    <xf numFmtId="0" fontId="3" fillId="32" borderId="0" xfId="0" applyFont="1" applyFill="1"/>
    <xf numFmtId="0" fontId="3" fillId="13" borderId="0" xfId="0" applyFont="1" applyFill="1"/>
    <xf numFmtId="0" fontId="3" fillId="38" borderId="0" xfId="0" applyFont="1" applyFill="1"/>
    <xf numFmtId="0" fontId="3" fillId="0" borderId="1" xfId="0" applyFont="1" applyBorder="1"/>
    <xf numFmtId="0" fontId="3" fillId="38" borderId="1" xfId="0" applyFont="1" applyFill="1" applyBorder="1"/>
    <xf numFmtId="0" fontId="3" fillId="0" borderId="2" xfId="0" applyFont="1" applyBorder="1"/>
    <xf numFmtId="0" fontId="3" fillId="39" borderId="2" xfId="0" applyFont="1" applyFill="1" applyBorder="1"/>
    <xf numFmtId="0" fontId="3" fillId="40" borderId="1" xfId="0" applyFont="1" applyFill="1" applyBorder="1" applyAlignment="1">
      <alignment horizontal="center" vertical="center"/>
    </xf>
    <xf numFmtId="0" fontId="3" fillId="40" borderId="0" xfId="0" applyFont="1" applyFill="1" applyAlignment="1">
      <alignment horizontal="center" vertical="center"/>
    </xf>
    <xf numFmtId="0" fontId="3" fillId="41" borderId="0" xfId="0" applyFont="1" applyFill="1" applyAlignment="1">
      <alignment horizontal="center" vertical="center"/>
    </xf>
    <xf numFmtId="0" fontId="3" fillId="40" borderId="2" xfId="0" applyFont="1" applyFill="1" applyBorder="1" applyAlignment="1">
      <alignment horizontal="center" vertical="center"/>
    </xf>
    <xf numFmtId="0" fontId="3" fillId="42" borderId="0" xfId="0" applyFont="1" applyFill="1" applyAlignment="1">
      <alignment horizontal="center" vertical="center"/>
    </xf>
    <xf numFmtId="0" fontId="3" fillId="43" borderId="1" xfId="0" applyFont="1" applyFill="1" applyBorder="1" applyAlignment="1">
      <alignment horizontal="center" vertical="center"/>
    </xf>
    <xf numFmtId="0" fontId="3" fillId="44" borderId="0" xfId="0" applyFont="1" applyFill="1" applyAlignment="1">
      <alignment horizontal="center" vertical="center"/>
    </xf>
    <xf numFmtId="0" fontId="3" fillId="45" borderId="2" xfId="0" applyFont="1" applyFill="1" applyBorder="1" applyAlignment="1">
      <alignment horizontal="center" vertical="center"/>
    </xf>
    <xf numFmtId="0" fontId="3" fillId="46" borderId="0" xfId="0" applyFont="1" applyFill="1" applyAlignment="1">
      <alignment horizontal="center" vertical="center"/>
    </xf>
    <xf numFmtId="0" fontId="3" fillId="47" borderId="0" xfId="0" applyFont="1" applyFill="1" applyAlignment="1">
      <alignment horizontal="center" vertical="center"/>
    </xf>
    <xf numFmtId="0" fontId="3" fillId="48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3" fillId="49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right"/>
    </xf>
    <xf numFmtId="0" fontId="3" fillId="50" borderId="0" xfId="0" applyFont="1" applyFill="1" applyAlignment="1">
      <alignment horizontal="center" vertical="center"/>
    </xf>
    <xf numFmtId="0" fontId="3" fillId="51" borderId="0" xfId="0" applyFont="1" applyFill="1" applyAlignment="1">
      <alignment horizontal="center" vertical="center"/>
    </xf>
    <xf numFmtId="0" fontId="3" fillId="50" borderId="2" xfId="0" applyFont="1" applyFill="1" applyBorder="1" applyAlignment="1">
      <alignment horizontal="center" vertical="center"/>
    </xf>
    <xf numFmtId="0" fontId="3" fillId="52" borderId="2" xfId="0" applyFont="1" applyFill="1" applyBorder="1" applyAlignment="1">
      <alignment horizontal="center" vertical="center"/>
    </xf>
    <xf numFmtId="0" fontId="3" fillId="53" borderId="0" xfId="0" applyFont="1" applyFill="1"/>
    <xf numFmtId="0" fontId="3" fillId="54" borderId="2" xfId="0" applyFont="1" applyFill="1" applyBorder="1" applyAlignment="1">
      <alignment horizontal="center" vertical="center"/>
    </xf>
    <xf numFmtId="0" fontId="6" fillId="55" borderId="0" xfId="0" applyFont="1" applyFill="1" applyAlignment="1">
      <alignment horizontal="center" vertical="center"/>
    </xf>
    <xf numFmtId="0" fontId="3" fillId="56" borderId="0" xfId="0" applyFont="1" applyFill="1"/>
    <xf numFmtId="0" fontId="3" fillId="56" borderId="2" xfId="0" applyFont="1" applyFill="1" applyBorder="1"/>
    <xf numFmtId="0" fontId="3" fillId="57" borderId="0" xfId="0" applyFont="1" applyFill="1" applyAlignment="1">
      <alignment horizontal="center" vertical="center"/>
    </xf>
    <xf numFmtId="0" fontId="3" fillId="58" borderId="0" xfId="0" applyFont="1" applyFill="1" applyAlignment="1">
      <alignment horizontal="center" vertical="center"/>
    </xf>
    <xf numFmtId="0" fontId="3" fillId="59" borderId="0" xfId="0" applyFont="1" applyFill="1" applyAlignment="1">
      <alignment horizontal="center" vertical="center"/>
    </xf>
    <xf numFmtId="0" fontId="3" fillId="60" borderId="0" xfId="0" applyFont="1" applyFill="1"/>
    <xf numFmtId="0" fontId="3" fillId="61" borderId="0" xfId="0" applyFont="1" applyFill="1"/>
    <xf numFmtId="0" fontId="3" fillId="62" borderId="0" xfId="0" applyFont="1" applyFill="1" applyAlignment="1">
      <alignment horizontal="center" vertical="center"/>
    </xf>
    <xf numFmtId="0" fontId="3" fillId="63" borderId="0" xfId="0" applyFont="1" applyFill="1" applyAlignment="1">
      <alignment horizontal="center" vertical="center"/>
    </xf>
    <xf numFmtId="0" fontId="3" fillId="44" borderId="1" xfId="0" applyFont="1" applyFill="1" applyBorder="1" applyAlignment="1">
      <alignment horizontal="center" vertical="center"/>
    </xf>
    <xf numFmtId="0" fontId="3" fillId="64" borderId="1" xfId="0" applyFont="1" applyFill="1" applyBorder="1"/>
    <xf numFmtId="0" fontId="3" fillId="64" borderId="0" xfId="0" applyFont="1" applyFill="1"/>
    <xf numFmtId="0" fontId="3" fillId="62" borderId="1" xfId="0" applyFont="1" applyFill="1" applyBorder="1" applyAlignment="1">
      <alignment horizontal="center" vertical="center"/>
    </xf>
    <xf numFmtId="0" fontId="3" fillId="33" borderId="2" xfId="0" applyFont="1" applyFill="1" applyBorder="1" applyAlignment="1">
      <alignment horizontal="center" vertical="center"/>
    </xf>
    <xf numFmtId="0" fontId="3" fillId="38" borderId="2" xfId="0" applyFont="1" applyFill="1" applyBorder="1"/>
    <xf numFmtId="0" fontId="3" fillId="64" borderId="2" xfId="0" applyFont="1" applyFill="1" applyBorder="1"/>
    <xf numFmtId="0" fontId="3" fillId="44" borderId="2" xfId="0" applyFont="1" applyFill="1" applyBorder="1" applyAlignment="1">
      <alignment horizontal="center" vertical="center"/>
    </xf>
    <xf numFmtId="0" fontId="3" fillId="47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3" borderId="2" xfId="0" applyFont="1" applyFill="1" applyBorder="1"/>
    <xf numFmtId="0" fontId="3" fillId="51" borderId="2" xfId="0" applyFont="1" applyFill="1" applyBorder="1" applyAlignment="1">
      <alignment horizontal="center" vertical="center"/>
    </xf>
    <xf numFmtId="0" fontId="3" fillId="20" borderId="2" xfId="0" applyFont="1" applyFill="1" applyBorder="1" applyAlignment="1">
      <alignment horizontal="center" vertical="center"/>
    </xf>
    <xf numFmtId="0" fontId="3" fillId="30" borderId="2" xfId="0" applyFont="1" applyFill="1" applyBorder="1" applyAlignment="1">
      <alignment horizontal="center" vertical="center"/>
    </xf>
    <xf numFmtId="0" fontId="6" fillId="55" borderId="2" xfId="0" applyFont="1" applyFill="1" applyBorder="1" applyAlignment="1">
      <alignment horizontal="center" vertical="center"/>
    </xf>
    <xf numFmtId="0" fontId="3" fillId="63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7" fillId="0" borderId="0" xfId="0" applyFont="1" applyAlignment="1">
      <alignment horizontal="center"/>
    </xf>
    <xf numFmtId="0" fontId="0" fillId="65" borderId="0" xfId="0" applyFill="1"/>
    <xf numFmtId="0" fontId="0" fillId="65" borderId="2" xfId="0" applyFill="1" applyBorder="1"/>
    <xf numFmtId="0" fontId="0" fillId="66" borderId="0" xfId="0" applyFill="1"/>
    <xf numFmtId="0" fontId="0" fillId="67" borderId="0" xfId="0" applyFill="1"/>
  </cellXfs>
  <cellStyles count="1">
    <cellStyle name="Normal" xfId="0" builtinId="0"/>
  </cellStyles>
  <dxfs count="8">
    <dxf>
      <fill>
        <patternFill>
          <bgColor rgb="FFF4C756"/>
        </patternFill>
      </fill>
    </dxf>
    <dxf>
      <fill>
        <patternFill>
          <bgColor rgb="FFF4C756"/>
        </patternFill>
      </fill>
    </dxf>
    <dxf>
      <fill>
        <patternFill>
          <bgColor rgb="FFF4C756"/>
        </patternFill>
      </fill>
    </dxf>
    <dxf>
      <fill>
        <patternFill>
          <bgColor rgb="FFF4C756"/>
        </patternFill>
      </fill>
    </dxf>
    <dxf>
      <fill>
        <patternFill>
          <bgColor rgb="FFF4C756"/>
        </patternFill>
      </fill>
    </dxf>
    <dxf>
      <fill>
        <patternFill>
          <bgColor rgb="FFF4C756"/>
        </patternFill>
      </fill>
    </dxf>
    <dxf>
      <fill>
        <patternFill>
          <bgColor rgb="FFF4C756"/>
        </patternFill>
      </fill>
    </dxf>
    <dxf>
      <fill>
        <patternFill>
          <bgColor rgb="FFF4C756"/>
        </patternFill>
      </fill>
    </dxf>
  </dxfs>
  <tableStyles count="0" defaultTableStyle="TableStyleMedium2" defaultPivotStyle="PivotStyleLight16"/>
  <colors>
    <mruColors>
      <color rgb="FFFFDDF4"/>
      <color rgb="FFFFBDE9"/>
      <color rgb="FFFF97DC"/>
      <color rgb="FFFFC9FF"/>
      <color rgb="FFFFE7FF"/>
      <color rgb="FFFF99FF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17F20-BF19-41CD-B4F6-493E7D861C62}">
  <sheetPr>
    <pageSetUpPr fitToPage="1"/>
  </sheetPr>
  <dimension ref="A1:I83"/>
  <sheetViews>
    <sheetView topLeftCell="A38" zoomScale="85" zoomScaleNormal="85" workbookViewId="0">
      <selection activeCell="F28" sqref="F28:F30"/>
    </sheetView>
  </sheetViews>
  <sheetFormatPr defaultRowHeight="15" x14ac:dyDescent="0.25"/>
  <cols>
    <col min="1" max="1" width="42.85546875" bestFit="1" customWidth="1"/>
    <col min="2" max="2" width="16.140625" bestFit="1" customWidth="1"/>
    <col min="3" max="3" width="15" customWidth="1"/>
    <col min="4" max="4" width="69.7109375" style="1" bestFit="1" customWidth="1"/>
    <col min="5" max="5" width="22.140625" bestFit="1" customWidth="1"/>
    <col min="6" max="6" width="15" style="2" bestFit="1" customWidth="1"/>
    <col min="7" max="7" width="9.42578125" customWidth="1"/>
    <col min="9" max="9" width="14.85546875" customWidth="1"/>
  </cols>
  <sheetData>
    <row r="1" spans="1:7" ht="26.25" customHeight="1" x14ac:dyDescent="0.25">
      <c r="A1" s="115"/>
      <c r="B1" s="115"/>
      <c r="C1" s="115"/>
      <c r="D1" s="115"/>
      <c r="E1" s="115"/>
      <c r="F1" s="115"/>
    </row>
    <row r="2" spans="1:7" ht="32.25" customHeight="1" x14ac:dyDescent="0.25">
      <c r="A2" s="7" t="s">
        <v>34</v>
      </c>
      <c r="B2" s="8" t="s">
        <v>89</v>
      </c>
      <c r="C2" s="9" t="s">
        <v>90</v>
      </c>
      <c r="D2" s="10"/>
      <c r="E2" s="8" t="s">
        <v>89</v>
      </c>
      <c r="F2" s="11" t="s">
        <v>141</v>
      </c>
      <c r="G2" s="8" t="s">
        <v>144</v>
      </c>
    </row>
    <row r="3" spans="1:7" ht="15.75" x14ac:dyDescent="0.25">
      <c r="A3" s="12" t="s">
        <v>42</v>
      </c>
      <c r="B3" s="12"/>
      <c r="C3" s="12"/>
      <c r="D3" s="12" t="s">
        <v>43</v>
      </c>
      <c r="E3" s="13"/>
      <c r="F3" s="14" t="s">
        <v>0</v>
      </c>
    </row>
    <row r="4" spans="1:7" ht="15.75" x14ac:dyDescent="0.25">
      <c r="A4" s="15" t="s">
        <v>44</v>
      </c>
      <c r="B4" s="15" t="s">
        <v>91</v>
      </c>
      <c r="C4" s="16"/>
      <c r="D4" s="15" t="s">
        <v>46</v>
      </c>
      <c r="E4" s="17" t="s">
        <v>105</v>
      </c>
      <c r="F4" s="16" t="s">
        <v>45</v>
      </c>
    </row>
    <row r="5" spans="1:7" ht="15.75" x14ac:dyDescent="0.25">
      <c r="A5" s="15" t="s">
        <v>44</v>
      </c>
      <c r="B5" s="15" t="s">
        <v>91</v>
      </c>
      <c r="C5" s="16"/>
      <c r="D5" s="15" t="s">
        <v>20</v>
      </c>
      <c r="E5" s="17" t="s">
        <v>106</v>
      </c>
      <c r="F5" s="18" t="s">
        <v>45</v>
      </c>
    </row>
    <row r="6" spans="1:7" ht="15.75" x14ac:dyDescent="0.25">
      <c r="A6" s="15" t="s">
        <v>44</v>
      </c>
      <c r="B6" s="15" t="s">
        <v>91</v>
      </c>
      <c r="C6" s="106"/>
      <c r="D6" s="19" t="s">
        <v>21</v>
      </c>
      <c r="E6" s="20" t="s">
        <v>107</v>
      </c>
      <c r="F6" s="21" t="s">
        <v>45</v>
      </c>
    </row>
    <row r="7" spans="1:7" ht="15.75" x14ac:dyDescent="0.25">
      <c r="A7" s="22" t="s">
        <v>47</v>
      </c>
      <c r="B7" s="22" t="s">
        <v>92</v>
      </c>
      <c r="C7" s="23"/>
      <c r="D7" s="15" t="s">
        <v>50</v>
      </c>
      <c r="E7" s="17" t="s">
        <v>112</v>
      </c>
      <c r="F7" s="23"/>
    </row>
    <row r="8" spans="1:7" ht="15.75" x14ac:dyDescent="0.25">
      <c r="A8" s="15" t="s">
        <v>47</v>
      </c>
      <c r="B8" s="15" t="s">
        <v>92</v>
      </c>
      <c r="C8" s="23"/>
      <c r="D8" s="15" t="s">
        <v>48</v>
      </c>
      <c r="E8" s="17" t="s">
        <v>114</v>
      </c>
      <c r="F8" s="24"/>
    </row>
    <row r="9" spans="1:7" ht="15.75" x14ac:dyDescent="0.25">
      <c r="A9" s="15" t="s">
        <v>47</v>
      </c>
      <c r="B9" s="15" t="s">
        <v>92</v>
      </c>
      <c r="C9" s="23"/>
      <c r="D9" s="15" t="s">
        <v>49</v>
      </c>
      <c r="E9" s="17" t="s">
        <v>115</v>
      </c>
      <c r="F9" s="25"/>
    </row>
    <row r="10" spans="1:7" ht="15.75" x14ac:dyDescent="0.25">
      <c r="A10" s="15" t="s">
        <v>47</v>
      </c>
      <c r="B10" s="15" t="s">
        <v>92</v>
      </c>
      <c r="C10" s="23"/>
      <c r="D10" s="15" t="s">
        <v>18</v>
      </c>
      <c r="E10" s="17" t="s">
        <v>113</v>
      </c>
      <c r="F10" s="26"/>
    </row>
    <row r="11" spans="1:7" ht="15.75" x14ac:dyDescent="0.25">
      <c r="A11" s="15" t="s">
        <v>47</v>
      </c>
      <c r="B11" s="15" t="s">
        <v>92</v>
      </c>
      <c r="C11" s="23"/>
      <c r="D11" s="15" t="s">
        <v>116</v>
      </c>
      <c r="E11" s="17" t="s">
        <v>117</v>
      </c>
      <c r="F11" s="27"/>
    </row>
    <row r="12" spans="1:7" ht="15.75" x14ac:dyDescent="0.25">
      <c r="A12" s="19" t="s">
        <v>47</v>
      </c>
      <c r="B12" s="19" t="s">
        <v>92</v>
      </c>
      <c r="C12" s="105"/>
      <c r="D12" s="19" t="s">
        <v>19</v>
      </c>
      <c r="E12" s="20" t="s">
        <v>118</v>
      </c>
      <c r="F12" s="28"/>
    </row>
    <row r="13" spans="1:7" ht="15.75" x14ac:dyDescent="0.25">
      <c r="A13" s="22" t="s">
        <v>51</v>
      </c>
      <c r="B13" s="15" t="s">
        <v>93</v>
      </c>
      <c r="C13" s="29"/>
      <c r="D13" s="15" t="s">
        <v>36</v>
      </c>
      <c r="E13" s="17" t="s">
        <v>119</v>
      </c>
      <c r="F13" s="30"/>
    </row>
    <row r="14" spans="1:7" ht="15.75" x14ac:dyDescent="0.25">
      <c r="A14" s="15" t="s">
        <v>51</v>
      </c>
      <c r="B14" s="15" t="s">
        <v>93</v>
      </c>
      <c r="C14" s="29"/>
      <c r="D14" s="15" t="s">
        <v>4</v>
      </c>
      <c r="E14" s="17" t="s">
        <v>108</v>
      </c>
      <c r="F14" s="29"/>
    </row>
    <row r="15" spans="1:7" ht="15.75" x14ac:dyDescent="0.25">
      <c r="A15" s="15" t="s">
        <v>51</v>
      </c>
      <c r="B15" s="15" t="s">
        <v>93</v>
      </c>
      <c r="C15" s="29"/>
      <c r="D15" s="15" t="s">
        <v>5</v>
      </c>
      <c r="E15" s="17" t="s">
        <v>109</v>
      </c>
      <c r="F15" s="31"/>
    </row>
    <row r="16" spans="1:7" ht="15.75" x14ac:dyDescent="0.25">
      <c r="A16" s="15" t="s">
        <v>51</v>
      </c>
      <c r="B16" s="15" t="s">
        <v>93</v>
      </c>
      <c r="C16" s="29"/>
      <c r="D16" s="15" t="s">
        <v>12</v>
      </c>
      <c r="E16" s="17" t="s">
        <v>12</v>
      </c>
      <c r="F16" s="32"/>
    </row>
    <row r="17" spans="1:6" ht="15.75" x14ac:dyDescent="0.25">
      <c r="A17" s="15" t="s">
        <v>51</v>
      </c>
      <c r="B17" s="15" t="s">
        <v>93</v>
      </c>
      <c r="C17" s="29"/>
      <c r="D17" s="15" t="s">
        <v>13</v>
      </c>
      <c r="E17" s="17" t="s">
        <v>120</v>
      </c>
      <c r="F17" s="33"/>
    </row>
    <row r="18" spans="1:6" ht="15.75" x14ac:dyDescent="0.25">
      <c r="A18" s="15" t="s">
        <v>51</v>
      </c>
      <c r="B18" s="15" t="s">
        <v>93</v>
      </c>
      <c r="C18" s="29"/>
      <c r="D18" s="15" t="s">
        <v>14</v>
      </c>
      <c r="E18" s="17" t="s">
        <v>121</v>
      </c>
      <c r="F18" s="34"/>
    </row>
    <row r="19" spans="1:6" ht="15.75" x14ac:dyDescent="0.25">
      <c r="A19" s="15" t="s">
        <v>51</v>
      </c>
      <c r="B19" s="15" t="s">
        <v>93</v>
      </c>
      <c r="C19" s="29"/>
      <c r="D19" s="15" t="s">
        <v>9</v>
      </c>
      <c r="E19" s="17" t="s">
        <v>122</v>
      </c>
      <c r="F19" s="35"/>
    </row>
    <row r="20" spans="1:6" ht="15.75" x14ac:dyDescent="0.25">
      <c r="A20" s="15" t="s">
        <v>51</v>
      </c>
      <c r="B20" s="15" t="s">
        <v>93</v>
      </c>
      <c r="C20" s="29"/>
      <c r="D20" s="15" t="s">
        <v>10</v>
      </c>
      <c r="E20" s="17" t="s">
        <v>123</v>
      </c>
      <c r="F20" s="36"/>
    </row>
    <row r="21" spans="1:6" ht="15.75" x14ac:dyDescent="0.25">
      <c r="A21" s="15" t="s">
        <v>51</v>
      </c>
      <c r="B21" s="15" t="s">
        <v>93</v>
      </c>
      <c r="C21" s="29"/>
      <c r="D21" s="15" t="s">
        <v>11</v>
      </c>
      <c r="E21" s="17" t="s">
        <v>124</v>
      </c>
      <c r="F21" s="37"/>
    </row>
    <row r="22" spans="1:6" ht="15.75" x14ac:dyDescent="0.25">
      <c r="A22" s="15" t="s">
        <v>51</v>
      </c>
      <c r="B22" s="15" t="s">
        <v>93</v>
      </c>
      <c r="C22" s="29"/>
      <c r="D22" s="15" t="s">
        <v>6</v>
      </c>
      <c r="E22" s="17" t="s">
        <v>125</v>
      </c>
      <c r="F22" s="38"/>
    </row>
    <row r="23" spans="1:6" ht="15.75" x14ac:dyDescent="0.25">
      <c r="A23" s="15" t="s">
        <v>51</v>
      </c>
      <c r="B23" s="15" t="s">
        <v>93</v>
      </c>
      <c r="C23" s="29"/>
      <c r="D23" s="15" t="s">
        <v>7</v>
      </c>
      <c r="E23" s="17" t="s">
        <v>126</v>
      </c>
      <c r="F23" s="39"/>
    </row>
    <row r="24" spans="1:6" ht="15.75" x14ac:dyDescent="0.25">
      <c r="A24" s="15" t="s">
        <v>51</v>
      </c>
      <c r="B24" s="15" t="s">
        <v>93</v>
      </c>
      <c r="C24" s="29"/>
      <c r="D24" s="15" t="s">
        <v>8</v>
      </c>
      <c r="E24" s="17" t="s">
        <v>127</v>
      </c>
      <c r="F24" s="40"/>
    </row>
    <row r="25" spans="1:6" ht="15.75" x14ac:dyDescent="0.25">
      <c r="A25" s="15" t="s">
        <v>51</v>
      </c>
      <c r="B25" s="15" t="s">
        <v>93</v>
      </c>
      <c r="C25" s="29"/>
      <c r="D25" s="15" t="s">
        <v>39</v>
      </c>
      <c r="E25" s="17" t="s">
        <v>39</v>
      </c>
      <c r="F25" s="41"/>
    </row>
    <row r="26" spans="1:6" ht="15.75" x14ac:dyDescent="0.25">
      <c r="A26" s="15" t="s">
        <v>51</v>
      </c>
      <c r="B26" s="15" t="s">
        <v>93</v>
      </c>
      <c r="C26" s="29"/>
      <c r="D26" s="15" t="s">
        <v>40</v>
      </c>
      <c r="E26" s="17" t="s">
        <v>128</v>
      </c>
      <c r="F26" s="42"/>
    </row>
    <row r="27" spans="1:6" ht="15.75" x14ac:dyDescent="0.25">
      <c r="A27" s="15" t="s">
        <v>51</v>
      </c>
      <c r="B27" s="15" t="s">
        <v>93</v>
      </c>
      <c r="C27" s="29"/>
      <c r="D27" s="15" t="s">
        <v>41</v>
      </c>
      <c r="E27" s="17" t="s">
        <v>129</v>
      </c>
      <c r="F27" s="43"/>
    </row>
    <row r="28" spans="1:6" ht="15.75" x14ac:dyDescent="0.25">
      <c r="A28" s="15" t="s">
        <v>51</v>
      </c>
      <c r="B28" s="15" t="s">
        <v>93</v>
      </c>
      <c r="C28" s="29"/>
      <c r="D28" s="15" t="s">
        <v>15</v>
      </c>
      <c r="E28" s="17" t="s">
        <v>130</v>
      </c>
      <c r="F28" s="44"/>
    </row>
    <row r="29" spans="1:6" ht="15.75" x14ac:dyDescent="0.25">
      <c r="A29" s="15" t="s">
        <v>51</v>
      </c>
      <c r="B29" s="15" t="s">
        <v>93</v>
      </c>
      <c r="C29" s="29"/>
      <c r="D29" s="15" t="s">
        <v>16</v>
      </c>
      <c r="E29" s="17" t="s">
        <v>131</v>
      </c>
      <c r="F29" s="45"/>
    </row>
    <row r="30" spans="1:6" ht="15.75" x14ac:dyDescent="0.25">
      <c r="A30" s="15" t="s">
        <v>51</v>
      </c>
      <c r="B30" s="15" t="s">
        <v>93</v>
      </c>
      <c r="C30" s="46"/>
      <c r="D30" s="19" t="s">
        <v>17</v>
      </c>
      <c r="E30" s="20" t="s">
        <v>132</v>
      </c>
      <c r="F30" s="47"/>
    </row>
    <row r="31" spans="1:6" ht="15.75" x14ac:dyDescent="0.25">
      <c r="A31" s="22" t="s">
        <v>37</v>
      </c>
      <c r="B31" s="22" t="s">
        <v>97</v>
      </c>
      <c r="C31" s="48"/>
      <c r="D31" s="15" t="s">
        <v>57</v>
      </c>
      <c r="E31" s="17" t="s">
        <v>133</v>
      </c>
      <c r="F31" s="49"/>
    </row>
    <row r="32" spans="1:6" ht="15.75" x14ac:dyDescent="0.25">
      <c r="A32" s="15" t="s">
        <v>37</v>
      </c>
      <c r="B32" s="15" t="s">
        <v>94</v>
      </c>
      <c r="C32" s="48"/>
      <c r="D32" s="15" t="s">
        <v>56</v>
      </c>
      <c r="E32" s="17" t="s">
        <v>134</v>
      </c>
      <c r="F32" s="50" t="s">
        <v>45</v>
      </c>
    </row>
    <row r="33" spans="1:9" ht="15.75" x14ac:dyDescent="0.25">
      <c r="A33" s="15" t="s">
        <v>37</v>
      </c>
      <c r="B33" s="15" t="s">
        <v>94</v>
      </c>
      <c r="C33" s="48"/>
      <c r="D33" s="15" t="s">
        <v>26</v>
      </c>
      <c r="E33" s="17" t="s">
        <v>135</v>
      </c>
      <c r="F33" s="48"/>
    </row>
    <row r="34" spans="1:9" ht="15.75" x14ac:dyDescent="0.25">
      <c r="A34" s="15" t="s">
        <v>37</v>
      </c>
      <c r="B34" s="15" t="s">
        <v>94</v>
      </c>
      <c r="C34" s="48"/>
      <c r="D34" s="19" t="s">
        <v>27</v>
      </c>
      <c r="E34" s="20" t="s">
        <v>136</v>
      </c>
      <c r="F34" s="51" t="s">
        <v>45</v>
      </c>
    </row>
    <row r="35" spans="1:9" ht="15.75" x14ac:dyDescent="0.25">
      <c r="A35" s="22" t="s">
        <v>38</v>
      </c>
      <c r="B35" s="22" t="s">
        <v>95</v>
      </c>
      <c r="C35" s="52"/>
      <c r="D35" s="15" t="s">
        <v>63</v>
      </c>
      <c r="E35" s="17" t="s">
        <v>63</v>
      </c>
      <c r="F35" s="52"/>
      <c r="H35" s="17"/>
      <c r="I35" s="17"/>
    </row>
    <row r="36" spans="1:9" ht="15.75" x14ac:dyDescent="0.25">
      <c r="A36" s="15" t="s">
        <v>38</v>
      </c>
      <c r="B36" s="15" t="s">
        <v>95</v>
      </c>
      <c r="C36" s="53"/>
      <c r="D36" s="15" t="s">
        <v>22</v>
      </c>
      <c r="E36" s="17" t="s">
        <v>22</v>
      </c>
      <c r="F36" s="86"/>
      <c r="H36" s="17"/>
      <c r="I36" s="17"/>
    </row>
    <row r="37" spans="1:9" ht="15.75" x14ac:dyDescent="0.25">
      <c r="A37" s="15" t="s">
        <v>38</v>
      </c>
      <c r="B37" s="15" t="s">
        <v>95</v>
      </c>
      <c r="C37" s="53"/>
      <c r="D37" s="15" t="s">
        <v>59</v>
      </c>
      <c r="E37" s="17" t="s">
        <v>138</v>
      </c>
      <c r="F37" s="86"/>
      <c r="H37" s="17"/>
      <c r="I37" s="17"/>
    </row>
    <row r="38" spans="1:9" ht="15.75" x14ac:dyDescent="0.25">
      <c r="A38" s="15" t="s">
        <v>38</v>
      </c>
      <c r="B38" s="15" t="s">
        <v>95</v>
      </c>
      <c r="C38" s="53"/>
      <c r="D38" s="15" t="s">
        <v>62</v>
      </c>
      <c r="E38" s="17"/>
      <c r="F38" s="86"/>
      <c r="H38" s="17"/>
      <c r="I38" s="17"/>
    </row>
    <row r="39" spans="1:9" ht="15.75" x14ac:dyDescent="0.25">
      <c r="A39" s="15" t="s">
        <v>38</v>
      </c>
      <c r="B39" s="15" t="s">
        <v>95</v>
      </c>
      <c r="C39" s="53"/>
      <c r="D39" s="15" t="s">
        <v>60</v>
      </c>
      <c r="E39" s="17"/>
      <c r="F39" s="86"/>
      <c r="H39" s="17"/>
      <c r="I39" s="17"/>
    </row>
    <row r="40" spans="1:9" ht="15.75" x14ac:dyDescent="0.25">
      <c r="A40" s="15" t="s">
        <v>38</v>
      </c>
      <c r="B40" s="15" t="s">
        <v>95</v>
      </c>
      <c r="C40" s="53"/>
      <c r="D40" s="15" t="s">
        <v>61</v>
      </c>
      <c r="E40" s="17"/>
      <c r="F40" s="86"/>
      <c r="H40" s="17"/>
      <c r="I40" s="17"/>
    </row>
    <row r="41" spans="1:9" ht="15.75" x14ac:dyDescent="0.25">
      <c r="A41" s="15" t="s">
        <v>38</v>
      </c>
      <c r="B41" s="15" t="s">
        <v>95</v>
      </c>
      <c r="C41" s="53"/>
      <c r="D41" s="15" t="s">
        <v>84</v>
      </c>
      <c r="E41" s="17"/>
      <c r="F41" s="87" t="s">
        <v>45</v>
      </c>
      <c r="H41" s="17"/>
      <c r="I41" s="17"/>
    </row>
    <row r="42" spans="1:9" ht="15.75" x14ac:dyDescent="0.25">
      <c r="A42" s="15" t="s">
        <v>38</v>
      </c>
      <c r="B42" s="15" t="s">
        <v>95</v>
      </c>
      <c r="C42" s="100"/>
      <c r="D42" s="15" t="s">
        <v>64</v>
      </c>
      <c r="E42" s="20" t="s">
        <v>137</v>
      </c>
      <c r="F42" s="88" t="s">
        <v>45</v>
      </c>
    </row>
    <row r="43" spans="1:9" ht="15.75" x14ac:dyDescent="0.25">
      <c r="A43" s="22" t="s">
        <v>58</v>
      </c>
      <c r="B43" s="22" t="s">
        <v>98</v>
      </c>
      <c r="C43" s="55"/>
      <c r="D43" s="22" t="s">
        <v>28</v>
      </c>
      <c r="E43" s="17"/>
      <c r="F43" s="54"/>
    </row>
    <row r="44" spans="1:9" ht="15.75" x14ac:dyDescent="0.25">
      <c r="A44" s="15" t="s">
        <v>58</v>
      </c>
      <c r="B44" s="15" t="s">
        <v>98</v>
      </c>
      <c r="C44" s="55"/>
      <c r="D44" s="15" t="s">
        <v>29</v>
      </c>
      <c r="E44" s="17"/>
      <c r="F44" s="55"/>
    </row>
    <row r="45" spans="1:9" ht="15.75" x14ac:dyDescent="0.25">
      <c r="A45" s="15" t="s">
        <v>58</v>
      </c>
      <c r="B45" s="15" t="s">
        <v>98</v>
      </c>
      <c r="C45" s="55"/>
      <c r="D45" s="19" t="s">
        <v>30</v>
      </c>
      <c r="E45" s="20"/>
      <c r="F45" s="85"/>
    </row>
    <row r="46" spans="1:9" ht="15.75" x14ac:dyDescent="0.25">
      <c r="A46" s="22" t="s">
        <v>55</v>
      </c>
      <c r="B46" s="22" t="s">
        <v>96</v>
      </c>
      <c r="C46" s="99"/>
      <c r="D46" s="15" t="s">
        <v>32</v>
      </c>
      <c r="E46" s="17" t="s">
        <v>139</v>
      </c>
      <c r="F46" s="56"/>
    </row>
    <row r="47" spans="1:9" ht="15.75" x14ac:dyDescent="0.25">
      <c r="A47" s="15" t="s">
        <v>55</v>
      </c>
      <c r="B47" s="15" t="s">
        <v>96</v>
      </c>
      <c r="C47" s="94"/>
      <c r="D47" s="15" t="s">
        <v>71</v>
      </c>
      <c r="E47" s="17"/>
      <c r="F47" s="94"/>
    </row>
    <row r="48" spans="1:9" ht="15.75" x14ac:dyDescent="0.25">
      <c r="A48" s="15" t="s">
        <v>55</v>
      </c>
      <c r="B48" s="15" t="s">
        <v>96</v>
      </c>
      <c r="C48" s="94"/>
      <c r="D48" s="15" t="s">
        <v>70</v>
      </c>
      <c r="E48" s="17"/>
      <c r="F48" s="94"/>
    </row>
    <row r="49" spans="1:6" ht="15.75" x14ac:dyDescent="0.25">
      <c r="A49" s="15" t="s">
        <v>55</v>
      </c>
      <c r="B49" s="15" t="s">
        <v>96</v>
      </c>
      <c r="C49" s="94"/>
      <c r="D49" s="15" t="s">
        <v>69</v>
      </c>
      <c r="E49" s="17"/>
      <c r="F49" s="94"/>
    </row>
    <row r="50" spans="1:6" ht="15.75" x14ac:dyDescent="0.25">
      <c r="A50" s="19" t="s">
        <v>55</v>
      </c>
      <c r="B50" s="15" t="s">
        <v>96</v>
      </c>
      <c r="C50" s="94"/>
      <c r="D50" s="15" t="s">
        <v>72</v>
      </c>
      <c r="E50" s="17"/>
      <c r="F50" s="95"/>
    </row>
    <row r="51" spans="1:6" ht="15.75" x14ac:dyDescent="0.25">
      <c r="A51" s="15" t="s">
        <v>143</v>
      </c>
      <c r="B51" s="22" t="s">
        <v>99</v>
      </c>
      <c r="C51" s="97"/>
      <c r="D51" s="22" t="s">
        <v>82</v>
      </c>
      <c r="E51" s="57"/>
      <c r="F51" s="58" t="s">
        <v>45</v>
      </c>
    </row>
    <row r="52" spans="1:6" ht="15.75" x14ac:dyDescent="0.25">
      <c r="A52" s="15" t="s">
        <v>143</v>
      </c>
      <c r="B52" s="15" t="s">
        <v>99</v>
      </c>
      <c r="C52" s="98"/>
      <c r="D52" s="15" t="s">
        <v>83</v>
      </c>
      <c r="E52" s="17"/>
      <c r="F52" s="59" t="s">
        <v>45</v>
      </c>
    </row>
    <row r="53" spans="1:6" ht="15.75" x14ac:dyDescent="0.25">
      <c r="A53" s="15" t="s">
        <v>143</v>
      </c>
      <c r="B53" s="15" t="s">
        <v>99</v>
      </c>
      <c r="C53" s="102"/>
      <c r="D53" s="15" t="s">
        <v>81</v>
      </c>
      <c r="E53" s="17"/>
      <c r="F53" s="60" t="s">
        <v>45</v>
      </c>
    </row>
    <row r="54" spans="1:6" ht="15.75" x14ac:dyDescent="0.25">
      <c r="A54" s="22" t="s">
        <v>65</v>
      </c>
      <c r="B54" s="22" t="s">
        <v>100</v>
      </c>
      <c r="C54" s="61"/>
      <c r="D54" s="22" t="s">
        <v>66</v>
      </c>
      <c r="E54" s="62"/>
      <c r="F54" s="63" t="s">
        <v>45</v>
      </c>
    </row>
    <row r="55" spans="1:6" ht="15.75" x14ac:dyDescent="0.25">
      <c r="A55" s="15" t="s">
        <v>65</v>
      </c>
      <c r="B55" s="15" t="s">
        <v>100</v>
      </c>
      <c r="C55" s="61"/>
      <c r="D55" s="15" t="s">
        <v>67</v>
      </c>
      <c r="E55" s="17"/>
      <c r="F55" s="61" t="s">
        <v>45</v>
      </c>
    </row>
    <row r="56" spans="1:6" ht="15.75" x14ac:dyDescent="0.25">
      <c r="A56" s="19" t="s">
        <v>65</v>
      </c>
      <c r="B56" s="19" t="s">
        <v>100</v>
      </c>
      <c r="C56" s="101"/>
      <c r="D56" s="19" t="s">
        <v>68</v>
      </c>
      <c r="E56" s="64"/>
      <c r="F56" s="65" t="s">
        <v>45</v>
      </c>
    </row>
    <row r="57" spans="1:6" ht="15.75" x14ac:dyDescent="0.25">
      <c r="A57" s="15" t="s">
        <v>142</v>
      </c>
      <c r="B57" s="15" t="s">
        <v>101</v>
      </c>
      <c r="C57" s="92"/>
      <c r="D57" s="22" t="s">
        <v>52</v>
      </c>
      <c r="F57" s="84" t="s">
        <v>45</v>
      </c>
    </row>
    <row r="58" spans="1:6" ht="15.75" x14ac:dyDescent="0.25">
      <c r="A58" s="15" t="s">
        <v>142</v>
      </c>
      <c r="B58" s="15" t="s">
        <v>101</v>
      </c>
      <c r="C58" s="92"/>
      <c r="D58" s="15" t="s">
        <v>53</v>
      </c>
      <c r="F58" s="92" t="s">
        <v>45</v>
      </c>
    </row>
    <row r="59" spans="1:6" ht="15.75" x14ac:dyDescent="0.25">
      <c r="A59" s="15" t="s">
        <v>142</v>
      </c>
      <c r="B59" s="15" t="s">
        <v>101</v>
      </c>
      <c r="C59" s="92"/>
      <c r="D59" s="15" t="s">
        <v>54</v>
      </c>
      <c r="F59" s="93" t="s">
        <v>45</v>
      </c>
    </row>
    <row r="60" spans="1:6" ht="15.75" x14ac:dyDescent="0.25">
      <c r="A60" s="22" t="s">
        <v>23</v>
      </c>
      <c r="B60" s="22" t="s">
        <v>102</v>
      </c>
      <c r="C60" s="66"/>
      <c r="D60" s="22" t="s">
        <v>23</v>
      </c>
      <c r="E60" s="57" t="s">
        <v>140</v>
      </c>
      <c r="F60" s="66"/>
    </row>
    <row r="61" spans="1:6" ht="15.75" x14ac:dyDescent="0.25">
      <c r="A61" s="15" t="s">
        <v>23</v>
      </c>
      <c r="B61" s="15" t="s">
        <v>102</v>
      </c>
      <c r="C61" s="67"/>
      <c r="D61" s="15" t="s">
        <v>24</v>
      </c>
      <c r="E61" s="17" t="s">
        <v>110</v>
      </c>
      <c r="F61" s="68"/>
    </row>
    <row r="62" spans="1:6" ht="15.75" x14ac:dyDescent="0.25">
      <c r="A62" s="19" t="s">
        <v>23</v>
      </c>
      <c r="B62" s="19" t="s">
        <v>102</v>
      </c>
      <c r="C62" s="69"/>
      <c r="D62" s="19" t="s">
        <v>25</v>
      </c>
      <c r="E62" s="17" t="s">
        <v>111</v>
      </c>
      <c r="F62" s="70"/>
    </row>
    <row r="63" spans="1:6" ht="15.75" x14ac:dyDescent="0.25">
      <c r="A63" s="15" t="s">
        <v>73</v>
      </c>
      <c r="B63" s="15" t="s">
        <v>103</v>
      </c>
      <c r="C63" s="96"/>
      <c r="D63" s="15" t="s">
        <v>87</v>
      </c>
      <c r="E63" s="62"/>
      <c r="F63" s="71"/>
    </row>
    <row r="64" spans="1:6" ht="15.75" x14ac:dyDescent="0.25">
      <c r="A64" s="15" t="s">
        <v>73</v>
      </c>
      <c r="B64" s="15" t="s">
        <v>103</v>
      </c>
      <c r="C64" s="72"/>
      <c r="D64" s="15" t="s">
        <v>85</v>
      </c>
      <c r="E64" s="17"/>
      <c r="F64" s="72"/>
    </row>
    <row r="65" spans="1:6" ht="15.75" x14ac:dyDescent="0.25">
      <c r="A65" s="19" t="s">
        <v>73</v>
      </c>
      <c r="B65" s="19" t="s">
        <v>103</v>
      </c>
      <c r="C65" s="103"/>
      <c r="D65" s="15" t="s">
        <v>76</v>
      </c>
      <c r="E65" s="17"/>
      <c r="F65" s="73"/>
    </row>
    <row r="66" spans="1:6" ht="15.75" x14ac:dyDescent="0.25">
      <c r="A66" s="15" t="s">
        <v>74</v>
      </c>
      <c r="B66" s="15" t="s">
        <v>35</v>
      </c>
      <c r="C66" s="75"/>
      <c r="D66" s="22" t="s">
        <v>78</v>
      </c>
      <c r="E66" s="57"/>
      <c r="F66" s="74"/>
    </row>
    <row r="67" spans="1:6" ht="15.75" x14ac:dyDescent="0.25">
      <c r="A67" s="15" t="s">
        <v>74</v>
      </c>
      <c r="B67" s="15" t="s">
        <v>35</v>
      </c>
      <c r="C67" s="75"/>
      <c r="D67" s="15" t="s">
        <v>88</v>
      </c>
      <c r="E67" s="17"/>
      <c r="F67" s="75"/>
    </row>
    <row r="68" spans="1:6" ht="15.75" x14ac:dyDescent="0.25">
      <c r="A68" s="15" t="s">
        <v>74</v>
      </c>
      <c r="B68" s="19" t="s">
        <v>35</v>
      </c>
      <c r="C68" s="104"/>
      <c r="D68" s="15" t="s">
        <v>77</v>
      </c>
      <c r="E68" s="20"/>
      <c r="F68" s="76"/>
    </row>
    <row r="69" spans="1:6" ht="15.75" x14ac:dyDescent="0.25">
      <c r="A69" s="22" t="s">
        <v>75</v>
      </c>
      <c r="B69" s="15" t="s">
        <v>104</v>
      </c>
      <c r="C69" s="90"/>
      <c r="D69" s="22" t="s">
        <v>79</v>
      </c>
      <c r="F69" s="89"/>
    </row>
    <row r="70" spans="1:6" ht="15.75" x14ac:dyDescent="0.25">
      <c r="A70" s="15" t="s">
        <v>75</v>
      </c>
      <c r="B70" s="15" t="s">
        <v>104</v>
      </c>
      <c r="C70" s="90"/>
      <c r="D70" s="15" t="s">
        <v>86</v>
      </c>
      <c r="F70" s="90"/>
    </row>
    <row r="71" spans="1:6" ht="15.75" x14ac:dyDescent="0.25">
      <c r="A71" s="15" t="s">
        <v>75</v>
      </c>
      <c r="B71" s="19" t="s">
        <v>104</v>
      </c>
      <c r="C71" s="90"/>
      <c r="D71" s="19" t="s">
        <v>80</v>
      </c>
      <c r="F71" s="91"/>
    </row>
    <row r="72" spans="1:6" ht="15.75" x14ac:dyDescent="0.25">
      <c r="A72" s="77" t="s">
        <v>33</v>
      </c>
      <c r="B72" s="19" t="s">
        <v>33</v>
      </c>
      <c r="C72" s="78"/>
      <c r="D72" s="77" t="s">
        <v>33</v>
      </c>
      <c r="E72" s="79"/>
      <c r="F72" s="78"/>
    </row>
    <row r="73" spans="1:6" ht="15.75" x14ac:dyDescent="0.25">
      <c r="A73" s="15" t="s">
        <v>1</v>
      </c>
      <c r="B73" s="15" t="s">
        <v>1</v>
      </c>
      <c r="C73" s="80"/>
      <c r="D73" s="15" t="s">
        <v>31</v>
      </c>
      <c r="E73" s="17"/>
      <c r="F73" s="80"/>
    </row>
    <row r="74" spans="1:6" ht="15.75" x14ac:dyDescent="0.25">
      <c r="A74" s="15" t="s">
        <v>1</v>
      </c>
      <c r="B74" s="15" t="s">
        <v>1</v>
      </c>
      <c r="C74" s="80"/>
      <c r="D74" s="15" t="s">
        <v>3</v>
      </c>
      <c r="E74" s="17"/>
      <c r="F74" s="81"/>
    </row>
    <row r="75" spans="1:6" ht="15.75" x14ac:dyDescent="0.25">
      <c r="A75" s="19" t="s">
        <v>1</v>
      </c>
      <c r="B75" s="15" t="s">
        <v>1</v>
      </c>
      <c r="C75" s="82"/>
      <c r="D75" s="15" t="s">
        <v>2</v>
      </c>
      <c r="E75" s="20"/>
      <c r="F75" s="83"/>
    </row>
    <row r="76" spans="1:6" x14ac:dyDescent="0.25">
      <c r="B76" s="4"/>
      <c r="D76" s="5"/>
      <c r="F76" s="6"/>
    </row>
    <row r="77" spans="1:6" x14ac:dyDescent="0.25">
      <c r="D77" s="3"/>
    </row>
    <row r="78" spans="1:6" x14ac:dyDescent="0.25">
      <c r="D78" s="3"/>
    </row>
    <row r="83" spans="4:4" x14ac:dyDescent="0.25">
      <c r="D83"/>
    </row>
  </sheetData>
  <mergeCells count="1">
    <mergeCell ref="A1:F1"/>
  </mergeCells>
  <conditionalFormatting sqref="C31:C34">
    <cfRule type="cellIs" dxfId="7" priority="4" stopIfTrue="1" operator="equal">
      <formula>"F4C756"</formula>
    </cfRule>
  </conditionalFormatting>
  <conditionalFormatting sqref="C43:C45">
    <cfRule type="cellIs" dxfId="6" priority="8" stopIfTrue="1" operator="equal">
      <formula>"F4C756"</formula>
    </cfRule>
  </conditionalFormatting>
  <conditionalFormatting sqref="F31:F32">
    <cfRule type="cellIs" dxfId="5" priority="1" stopIfTrue="1" operator="equal">
      <formula>"F4C756"</formula>
    </cfRule>
  </conditionalFormatting>
  <conditionalFormatting sqref="F43:F45">
    <cfRule type="cellIs" dxfId="4" priority="2" stopIfTrue="1" operator="equal">
      <formula>"F4C756"</formula>
    </cfRule>
  </conditionalFormatting>
  <pageMargins left="0.7" right="0.7" top="0.75" bottom="0.75" header="0.3" footer="0.3"/>
  <pageSetup scale="7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19FB3-1810-422A-8F5C-574D54B9B214}">
  <dimension ref="A1:F40"/>
  <sheetViews>
    <sheetView tabSelected="1" zoomScale="80" zoomScaleNormal="80" workbookViewId="0">
      <selection activeCell="K37" sqref="K37"/>
    </sheetView>
  </sheetViews>
  <sheetFormatPr defaultRowHeight="15" x14ac:dyDescent="0.25"/>
  <cols>
    <col min="1" max="1" width="42.85546875" bestFit="1" customWidth="1"/>
    <col min="2" max="2" width="16.140625" bestFit="1" customWidth="1"/>
    <col min="3" max="3" width="15" customWidth="1"/>
    <col min="4" max="4" width="69.7109375" style="1" bestFit="1" customWidth="1"/>
    <col min="5" max="5" width="22.140625" bestFit="1" customWidth="1"/>
    <col min="6" max="6" width="15" style="2" bestFit="1" customWidth="1"/>
  </cols>
  <sheetData>
    <row r="1" spans="1:6" x14ac:dyDescent="0.25">
      <c r="A1" s="115"/>
      <c r="B1" s="115"/>
      <c r="C1" s="115"/>
      <c r="D1" s="115"/>
      <c r="E1" s="115"/>
      <c r="F1" s="115"/>
    </row>
    <row r="2" spans="1:6" ht="31.5" x14ac:dyDescent="0.25">
      <c r="A2" s="7" t="s">
        <v>34</v>
      </c>
      <c r="B2" s="8" t="s">
        <v>89</v>
      </c>
      <c r="C2" s="9" t="s">
        <v>90</v>
      </c>
      <c r="D2" s="10"/>
      <c r="E2" s="8" t="s">
        <v>89</v>
      </c>
      <c r="F2" s="11" t="s">
        <v>141</v>
      </c>
    </row>
    <row r="3" spans="1:6" ht="15.75" x14ac:dyDescent="0.25">
      <c r="A3" s="12" t="s">
        <v>42</v>
      </c>
      <c r="B3" s="12"/>
      <c r="C3" s="12"/>
      <c r="D3" s="12" t="s">
        <v>43</v>
      </c>
      <c r="E3" s="13"/>
      <c r="F3" s="14" t="s">
        <v>0</v>
      </c>
    </row>
    <row r="4" spans="1:6" ht="15.75" x14ac:dyDescent="0.25">
      <c r="A4" s="15" t="s">
        <v>145</v>
      </c>
      <c r="B4" s="15" t="s">
        <v>145</v>
      </c>
      <c r="C4" s="29"/>
      <c r="D4" s="15" t="s">
        <v>146</v>
      </c>
      <c r="E4" s="17" t="s">
        <v>122</v>
      </c>
      <c r="F4" s="35"/>
    </row>
    <row r="5" spans="1:6" ht="15.75" x14ac:dyDescent="0.25">
      <c r="A5" s="15" t="s">
        <v>145</v>
      </c>
      <c r="B5" s="15" t="s">
        <v>145</v>
      </c>
      <c r="C5" s="29"/>
      <c r="D5" s="15" t="s">
        <v>147</v>
      </c>
      <c r="E5" s="17" t="s">
        <v>123</v>
      </c>
      <c r="F5" s="36"/>
    </row>
    <row r="6" spans="1:6" ht="15.75" x14ac:dyDescent="0.25">
      <c r="A6" s="15" t="s">
        <v>145</v>
      </c>
      <c r="B6" s="15" t="s">
        <v>145</v>
      </c>
      <c r="C6" s="46"/>
      <c r="D6" s="19" t="s">
        <v>148</v>
      </c>
      <c r="E6" s="20" t="s">
        <v>124</v>
      </c>
      <c r="F6" s="108"/>
    </row>
    <row r="7" spans="1:6" ht="15.75" x14ac:dyDescent="0.25">
      <c r="A7" s="22" t="s">
        <v>37</v>
      </c>
      <c r="B7" s="22" t="s">
        <v>97</v>
      </c>
      <c r="C7" s="48"/>
      <c r="D7" s="15" t="s">
        <v>57</v>
      </c>
      <c r="E7" s="17" t="s">
        <v>133</v>
      </c>
      <c r="F7" s="49"/>
    </row>
    <row r="8" spans="1:6" ht="15.75" x14ac:dyDescent="0.25">
      <c r="A8" s="15" t="s">
        <v>37</v>
      </c>
      <c r="B8" s="15" t="s">
        <v>94</v>
      </c>
      <c r="C8" s="48"/>
      <c r="D8" s="15" t="s">
        <v>56</v>
      </c>
      <c r="E8" s="17" t="s">
        <v>134</v>
      </c>
      <c r="F8" s="50" t="s">
        <v>45</v>
      </c>
    </row>
    <row r="9" spans="1:6" ht="15.75" x14ac:dyDescent="0.25">
      <c r="A9" s="15" t="s">
        <v>37</v>
      </c>
      <c r="B9" s="15" t="s">
        <v>94</v>
      </c>
      <c r="C9" s="48"/>
      <c r="D9" s="15" t="s">
        <v>26</v>
      </c>
      <c r="E9" s="17" t="s">
        <v>135</v>
      </c>
      <c r="F9" s="48"/>
    </row>
    <row r="10" spans="1:6" ht="15.75" x14ac:dyDescent="0.25">
      <c r="A10" s="19" t="s">
        <v>37</v>
      </c>
      <c r="B10" s="19" t="s">
        <v>94</v>
      </c>
      <c r="C10" s="109"/>
      <c r="D10" s="19" t="s">
        <v>27</v>
      </c>
      <c r="E10" s="20" t="s">
        <v>136</v>
      </c>
      <c r="F10" s="51" t="s">
        <v>45</v>
      </c>
    </row>
    <row r="11" spans="1:6" ht="15.75" x14ac:dyDescent="0.25">
      <c r="A11" s="15" t="s">
        <v>38</v>
      </c>
      <c r="B11" s="15" t="s">
        <v>95</v>
      </c>
      <c r="C11" s="53"/>
      <c r="D11" s="15" t="s">
        <v>22</v>
      </c>
      <c r="E11" s="17" t="s">
        <v>22</v>
      </c>
      <c r="F11" s="52"/>
    </row>
    <row r="12" spans="1:6" ht="15.75" x14ac:dyDescent="0.25">
      <c r="A12" s="15" t="s">
        <v>38</v>
      </c>
      <c r="B12" s="15" t="s">
        <v>95</v>
      </c>
      <c r="C12" s="53"/>
      <c r="D12" s="15" t="s">
        <v>59</v>
      </c>
      <c r="E12" s="17" t="s">
        <v>154</v>
      </c>
      <c r="F12" s="86"/>
    </row>
    <row r="13" spans="1:6" ht="15.75" x14ac:dyDescent="0.25">
      <c r="A13" s="15" t="s">
        <v>38</v>
      </c>
      <c r="B13" s="19" t="s">
        <v>95</v>
      </c>
      <c r="C13" s="100"/>
      <c r="D13" s="19" t="s">
        <v>84</v>
      </c>
      <c r="E13" s="20"/>
      <c r="F13" s="110"/>
    </row>
    <row r="14" spans="1:6" ht="15.75" x14ac:dyDescent="0.25">
      <c r="A14" s="22" t="s">
        <v>58</v>
      </c>
      <c r="B14" s="15" t="s">
        <v>98</v>
      </c>
      <c r="C14" s="55"/>
      <c r="D14" s="15" t="s">
        <v>28</v>
      </c>
      <c r="E14" s="17"/>
      <c r="F14" s="54"/>
    </row>
    <row r="15" spans="1:6" ht="15.75" x14ac:dyDescent="0.25">
      <c r="A15" s="15" t="s">
        <v>58</v>
      </c>
      <c r="B15" s="15" t="s">
        <v>98</v>
      </c>
      <c r="C15" s="55"/>
      <c r="D15" s="15" t="s">
        <v>29</v>
      </c>
      <c r="E15" s="17"/>
      <c r="F15" s="55"/>
    </row>
    <row r="16" spans="1:6" ht="15.75" x14ac:dyDescent="0.25">
      <c r="A16" s="15" t="s">
        <v>58</v>
      </c>
      <c r="B16" s="15" t="s">
        <v>98</v>
      </c>
      <c r="C16" s="55"/>
      <c r="D16" s="19" t="s">
        <v>30</v>
      </c>
      <c r="E16" s="20"/>
      <c r="F16" s="85"/>
    </row>
    <row r="17" spans="1:6" ht="15.75" x14ac:dyDescent="0.25">
      <c r="A17" s="22" t="s">
        <v>55</v>
      </c>
      <c r="B17" s="22" t="s">
        <v>96</v>
      </c>
      <c r="C17" s="99"/>
      <c r="D17" s="15" t="s">
        <v>32</v>
      </c>
      <c r="E17" s="17" t="s">
        <v>139</v>
      </c>
      <c r="F17" s="56"/>
    </row>
    <row r="18" spans="1:6" ht="15.75" x14ac:dyDescent="0.25">
      <c r="A18" s="15" t="s">
        <v>55</v>
      </c>
      <c r="B18" s="15" t="s">
        <v>96</v>
      </c>
      <c r="C18" s="94"/>
      <c r="D18" s="15" t="s">
        <v>71</v>
      </c>
      <c r="E18" s="17"/>
      <c r="F18" s="94"/>
    </row>
    <row r="19" spans="1:6" ht="15.75" x14ac:dyDescent="0.25">
      <c r="A19" s="15" t="s">
        <v>55</v>
      </c>
      <c r="B19" s="15" t="s">
        <v>96</v>
      </c>
      <c r="C19" s="94"/>
      <c r="D19" s="15" t="s">
        <v>70</v>
      </c>
      <c r="E19" s="17"/>
      <c r="F19" s="94"/>
    </row>
    <row r="20" spans="1:6" ht="15.75" x14ac:dyDescent="0.25">
      <c r="A20" s="15" t="s">
        <v>55</v>
      </c>
      <c r="B20" s="15" t="s">
        <v>96</v>
      </c>
      <c r="C20" s="94"/>
      <c r="D20" s="15" t="s">
        <v>69</v>
      </c>
      <c r="E20" s="17"/>
      <c r="F20" s="94"/>
    </row>
    <row r="21" spans="1:6" ht="15.75" x14ac:dyDescent="0.25">
      <c r="A21" s="19" t="s">
        <v>55</v>
      </c>
      <c r="B21" s="15" t="s">
        <v>96</v>
      </c>
      <c r="C21" s="94"/>
      <c r="D21" s="15" t="s">
        <v>72</v>
      </c>
      <c r="E21" s="17"/>
      <c r="F21" s="111"/>
    </row>
    <row r="22" spans="1:6" ht="15.75" x14ac:dyDescent="0.25">
      <c r="A22" s="15" t="s">
        <v>143</v>
      </c>
      <c r="B22" s="22" t="s">
        <v>99</v>
      </c>
      <c r="C22" s="97"/>
      <c r="D22" s="22" t="s">
        <v>82</v>
      </c>
      <c r="E22" s="57"/>
      <c r="F22" s="58" t="s">
        <v>45</v>
      </c>
    </row>
    <row r="23" spans="1:6" ht="15.75" x14ac:dyDescent="0.25">
      <c r="A23" s="15" t="s">
        <v>143</v>
      </c>
      <c r="B23" s="15" t="s">
        <v>99</v>
      </c>
      <c r="C23" s="98"/>
      <c r="D23" s="15" t="s">
        <v>83</v>
      </c>
      <c r="E23" s="17"/>
      <c r="F23" s="59" t="s">
        <v>45</v>
      </c>
    </row>
    <row r="24" spans="1:6" ht="15.75" x14ac:dyDescent="0.25">
      <c r="A24" s="15" t="s">
        <v>143</v>
      </c>
      <c r="B24" s="15" t="s">
        <v>99</v>
      </c>
      <c r="C24" s="102"/>
      <c r="D24" s="15" t="s">
        <v>81</v>
      </c>
      <c r="E24" s="17"/>
      <c r="F24" s="60" t="s">
        <v>45</v>
      </c>
    </row>
    <row r="25" spans="1:6" ht="15.75" x14ac:dyDescent="0.25">
      <c r="A25" s="22" t="s">
        <v>65</v>
      </c>
      <c r="B25" s="22" t="s">
        <v>100</v>
      </c>
      <c r="C25" s="61"/>
      <c r="D25" s="22" t="s">
        <v>66</v>
      </c>
      <c r="E25" s="62"/>
      <c r="F25" s="63" t="s">
        <v>45</v>
      </c>
    </row>
    <row r="26" spans="1:6" ht="15.75" x14ac:dyDescent="0.25">
      <c r="A26" s="15" t="s">
        <v>65</v>
      </c>
      <c r="B26" s="15" t="s">
        <v>100</v>
      </c>
      <c r="C26" s="61"/>
      <c r="D26" s="15" t="s">
        <v>67</v>
      </c>
      <c r="E26" s="17"/>
      <c r="F26" s="61" t="s">
        <v>45</v>
      </c>
    </row>
    <row r="27" spans="1:6" ht="15.75" x14ac:dyDescent="0.25">
      <c r="A27" s="19" t="s">
        <v>65</v>
      </c>
      <c r="B27" s="19" t="s">
        <v>100</v>
      </c>
      <c r="C27" s="101"/>
      <c r="D27" s="19" t="s">
        <v>68</v>
      </c>
      <c r="E27" s="64"/>
      <c r="F27" s="65" t="s">
        <v>45</v>
      </c>
    </row>
    <row r="28" spans="1:6" ht="15.75" x14ac:dyDescent="0.25">
      <c r="A28" s="22" t="s">
        <v>149</v>
      </c>
      <c r="B28" s="22" t="s">
        <v>149</v>
      </c>
      <c r="C28" s="45"/>
      <c r="D28" s="22" t="s">
        <v>149</v>
      </c>
      <c r="E28" s="57" t="s">
        <v>149</v>
      </c>
      <c r="F28" s="44"/>
    </row>
    <row r="29" spans="1:6" ht="15.75" x14ac:dyDescent="0.25">
      <c r="A29" s="15" t="s">
        <v>149</v>
      </c>
      <c r="B29" s="15" t="s">
        <v>149</v>
      </c>
      <c r="C29" s="45"/>
      <c r="D29" s="15" t="s">
        <v>150</v>
      </c>
      <c r="E29" s="17" t="s">
        <v>153</v>
      </c>
      <c r="F29" s="45"/>
    </row>
    <row r="30" spans="1:6" ht="15.75" x14ac:dyDescent="0.25">
      <c r="A30" s="19" t="s">
        <v>149</v>
      </c>
      <c r="B30" s="19" t="s">
        <v>149</v>
      </c>
      <c r="C30" s="45"/>
      <c r="D30" s="19" t="s">
        <v>151</v>
      </c>
      <c r="E30" s="20" t="s">
        <v>152</v>
      </c>
      <c r="F30" s="47"/>
    </row>
    <row r="31" spans="1:6" ht="15.75" x14ac:dyDescent="0.25">
      <c r="A31" s="15" t="s">
        <v>1</v>
      </c>
      <c r="B31" s="15" t="s">
        <v>1</v>
      </c>
      <c r="C31" s="80"/>
      <c r="D31" s="15" t="s">
        <v>31</v>
      </c>
      <c r="E31" s="17"/>
      <c r="F31" s="80"/>
    </row>
    <row r="32" spans="1:6" ht="15.75" x14ac:dyDescent="0.25">
      <c r="A32" s="19" t="s">
        <v>1</v>
      </c>
      <c r="B32" s="19" t="s">
        <v>1</v>
      </c>
      <c r="C32" s="82"/>
      <c r="D32" s="19" t="s">
        <v>3</v>
      </c>
      <c r="E32" s="20"/>
      <c r="F32" s="107"/>
    </row>
    <row r="33" spans="1:6" ht="15.75" x14ac:dyDescent="0.25">
      <c r="A33" s="15" t="s">
        <v>167</v>
      </c>
      <c r="B33" t="s">
        <v>168</v>
      </c>
      <c r="C33" s="116"/>
      <c r="D33" s="15" t="s">
        <v>169</v>
      </c>
      <c r="F33" s="116"/>
    </row>
    <row r="34" spans="1:6" ht="15.75" x14ac:dyDescent="0.25">
      <c r="A34" s="15" t="s">
        <v>167</v>
      </c>
      <c r="B34" t="s">
        <v>168</v>
      </c>
      <c r="C34" s="116"/>
      <c r="D34" s="15" t="s">
        <v>170</v>
      </c>
      <c r="F34" s="116"/>
    </row>
    <row r="35" spans="1:6" ht="15.75" x14ac:dyDescent="0.25">
      <c r="A35" s="15" t="s">
        <v>167</v>
      </c>
      <c r="B35" t="s">
        <v>168</v>
      </c>
      <c r="C35" s="116"/>
      <c r="D35" s="15" t="s">
        <v>171</v>
      </c>
      <c r="E35" s="113" t="s">
        <v>174</v>
      </c>
      <c r="F35" s="116"/>
    </row>
    <row r="36" spans="1:6" ht="15.75" x14ac:dyDescent="0.25">
      <c r="A36" s="15" t="s">
        <v>167</v>
      </c>
      <c r="B36" t="s">
        <v>168</v>
      </c>
      <c r="C36" s="116"/>
      <c r="D36" s="15" t="s">
        <v>173</v>
      </c>
      <c r="E36" s="113"/>
      <c r="F36" s="118"/>
    </row>
    <row r="37" spans="1:6" ht="15.75" x14ac:dyDescent="0.25">
      <c r="A37" s="19" t="s">
        <v>167</v>
      </c>
      <c r="B37" s="112" t="s">
        <v>168</v>
      </c>
      <c r="C37" s="117"/>
      <c r="D37" s="19" t="s">
        <v>172</v>
      </c>
      <c r="E37" s="114" t="s">
        <v>175</v>
      </c>
      <c r="F37" s="119"/>
    </row>
    <row r="40" spans="1:6" x14ac:dyDescent="0.25">
      <c r="D40"/>
    </row>
  </sheetData>
  <mergeCells count="1">
    <mergeCell ref="A1:F1"/>
  </mergeCells>
  <conditionalFormatting sqref="C7:C10">
    <cfRule type="cellIs" dxfId="3" priority="3" stopIfTrue="1" operator="equal">
      <formula>"F4C756"</formula>
    </cfRule>
  </conditionalFormatting>
  <conditionalFormatting sqref="C14:C16">
    <cfRule type="cellIs" dxfId="2" priority="4" stopIfTrue="1" operator="equal">
      <formula>"F4C756"</formula>
    </cfRule>
  </conditionalFormatting>
  <conditionalFormatting sqref="F7:F8">
    <cfRule type="cellIs" dxfId="1" priority="1" stopIfTrue="1" operator="equal">
      <formula>"F4C756"</formula>
    </cfRule>
  </conditionalFormatting>
  <conditionalFormatting sqref="F14:F16">
    <cfRule type="cellIs" dxfId="0" priority="2" stopIfTrue="1" operator="equal">
      <formula>"F4C756"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19C9F-5043-4679-AEE2-6BAAE80B1931}">
  <dimension ref="A2:B15"/>
  <sheetViews>
    <sheetView workbookViewId="0">
      <selection activeCell="B24" sqref="B24"/>
    </sheetView>
  </sheetViews>
  <sheetFormatPr defaultRowHeight="15" x14ac:dyDescent="0.25"/>
  <cols>
    <col min="1" max="1" width="32.140625" customWidth="1"/>
  </cols>
  <sheetData>
    <row r="2" spans="1:2" x14ac:dyDescent="0.25">
      <c r="A2" t="s">
        <v>155</v>
      </c>
    </row>
    <row r="3" spans="1:2" x14ac:dyDescent="0.25">
      <c r="A3" t="s">
        <v>156</v>
      </c>
      <c r="B3">
        <v>4370</v>
      </c>
    </row>
    <row r="4" spans="1:2" x14ac:dyDescent="0.25">
      <c r="A4" t="s">
        <v>157</v>
      </c>
      <c r="B4">
        <v>888</v>
      </c>
    </row>
    <row r="5" spans="1:2" x14ac:dyDescent="0.25">
      <c r="A5" t="s">
        <v>158</v>
      </c>
      <c r="B5">
        <v>373</v>
      </c>
    </row>
    <row r="6" spans="1:2" x14ac:dyDescent="0.25">
      <c r="A6" t="s">
        <v>159</v>
      </c>
      <c r="B6">
        <v>592</v>
      </c>
    </row>
    <row r="7" spans="1:2" x14ac:dyDescent="0.25">
      <c r="A7" t="s">
        <v>160</v>
      </c>
      <c r="B7">
        <v>7862</v>
      </c>
    </row>
    <row r="8" spans="1:2" x14ac:dyDescent="0.25">
      <c r="A8" t="s">
        <v>161</v>
      </c>
      <c r="B8">
        <v>3623</v>
      </c>
    </row>
    <row r="9" spans="1:2" x14ac:dyDescent="0.25">
      <c r="A9" t="s">
        <v>162</v>
      </c>
      <c r="B9">
        <v>1928</v>
      </c>
    </row>
    <row r="10" spans="1:2" x14ac:dyDescent="0.25">
      <c r="A10" t="s">
        <v>163</v>
      </c>
      <c r="B10">
        <v>765</v>
      </c>
    </row>
    <row r="11" spans="1:2" x14ac:dyDescent="0.25">
      <c r="B11">
        <f>SUM(B3:B10)</f>
        <v>20401</v>
      </c>
    </row>
    <row r="13" spans="1:2" x14ac:dyDescent="0.25">
      <c r="A13" t="s">
        <v>164</v>
      </c>
      <c r="B13">
        <v>140000</v>
      </c>
    </row>
    <row r="14" spans="1:2" x14ac:dyDescent="0.25">
      <c r="A14" t="s">
        <v>165</v>
      </c>
      <c r="B14">
        <v>192000</v>
      </c>
    </row>
    <row r="15" spans="1:2" x14ac:dyDescent="0.25">
      <c r="A15" t="s">
        <v>166</v>
      </c>
      <c r="B15">
        <f>B14-B11</f>
        <v>171599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93C49C-7803-46C9-BD4C-A8D37BDD7B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HEALTHCARE</vt:lpstr>
      <vt:lpstr>CANCER CENTER</vt:lpstr>
      <vt:lpstr>Sheet1</vt:lpstr>
      <vt:lpstr>HEALTHCARE!Print_Area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Cassab-Gheta, Nicholas</dc:creator>
  <cp:lastModifiedBy>Li, Sha</cp:lastModifiedBy>
  <cp:lastPrinted>2024-03-18T13:39:59Z</cp:lastPrinted>
  <dcterms:created xsi:type="dcterms:W3CDTF">2023-01-30T16:39:29Z</dcterms:created>
  <dcterms:modified xsi:type="dcterms:W3CDTF">2026-05-20T15:34:58Z</dcterms:modified>
</cp:coreProperties>
</file>